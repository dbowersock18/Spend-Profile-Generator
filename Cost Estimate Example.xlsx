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51cad4ed1657876/06 Code/Python/Python Code Workspace/Spend Profile Generator/"/>
    </mc:Choice>
  </mc:AlternateContent>
  <xr:revisionPtr revIDLastSave="311" documentId="13_ncr:1_{994661B1-9955-4CC9-A822-9DFED20DE2D7}" xr6:coauthVersionLast="47" xr6:coauthVersionMax="47" xr10:uidLastSave="{B272B5A1-3477-4307-B293-D23BCD740D4D}"/>
  <bookViews>
    <workbookView xWindow="-98" yWindow="-98" windowWidth="17115" windowHeight="10755" xr2:uid="{00000000-000D-0000-FFFF-FFFF00000000}"/>
  </bookViews>
  <sheets>
    <sheet name="Spend Profile" sheetId="1" r:id="rId1"/>
    <sheet name="Conditions" sheetId="4" r:id="rId2"/>
    <sheet name="Cost Estimate Templa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 a="1"/>
  <c r="H11" i="1" s="1"/>
  <c r="I11" i="1" a="1"/>
  <c r="I11" i="1" s="1"/>
  <c r="D8" i="1" a="1"/>
  <c r="D8" i="1" s="1"/>
  <c r="H2" i="3"/>
  <c r="D2" i="1" a="1"/>
  <c r="D2" i="1" s="1"/>
  <c r="D9" i="1" a="1"/>
  <c r="D9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2" i="1" a="1"/>
  <c r="I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/>
  <c r="H2" i="1" a="1"/>
  <c r="H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2" i="1" a="1"/>
  <c r="G2" i="1" s="1"/>
  <c r="D10" i="1" a="1"/>
  <c r="D10" i="1" s="1"/>
  <c r="E10" i="1" a="1"/>
  <c r="E10" i="1" s="1"/>
  <c r="F10" i="1" a="1"/>
  <c r="F10" i="1" s="1"/>
  <c r="E9" i="1" a="1"/>
  <c r="E9" i="1" s="1"/>
  <c r="F9" i="1" a="1"/>
  <c r="F9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2" i="1" a="1"/>
  <c r="F2" i="1" s="1"/>
  <c r="E8" i="1" a="1"/>
  <c r="E8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2" i="1" a="1"/>
  <c r="E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H3" i="3"/>
  <c r="H8" i="3"/>
  <c r="H9" i="3"/>
  <c r="H7" i="3"/>
  <c r="H6" i="3"/>
  <c r="H5" i="3"/>
  <c r="H4" i="3"/>
  <c r="J11" i="1" l="1"/>
  <c r="J5" i="1"/>
  <c r="J9" i="1"/>
  <c r="J10" i="1"/>
  <c r="J6" i="1"/>
  <c r="J4" i="1"/>
  <c r="J8" i="1"/>
  <c r="J2" i="1"/>
  <c r="J7" i="1"/>
  <c r="J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<sst xmlns="http://schemas.openxmlformats.org/spreadsheetml/2006/main" count="52" uniqueCount="27">
  <si>
    <t>Description</t>
  </si>
  <si>
    <t>Cost</t>
  </si>
  <si>
    <t>Choke</t>
  </si>
  <si>
    <t>Meter</t>
  </si>
  <si>
    <t>Pipe</t>
  </si>
  <si>
    <t>Labour - Mech</t>
  </si>
  <si>
    <t>Labour - Elec</t>
  </si>
  <si>
    <t>Construction Days</t>
  </si>
  <si>
    <t>10/01/2026</t>
  </si>
  <si>
    <t>Test</t>
  </si>
  <si>
    <t>Payment Schedule 1 (Date)</t>
  </si>
  <si>
    <t xml:space="preserve">Test 2 </t>
  </si>
  <si>
    <t>Payment Schedule 1 (%)</t>
  </si>
  <si>
    <t>Payment Schedule 2 (Date)</t>
  </si>
  <si>
    <t>Payment Schedule 2 (%)</t>
  </si>
  <si>
    <t>Payment Schedule 3 (Date)</t>
  </si>
  <si>
    <t>Payment Schedule 3 (%)</t>
  </si>
  <si>
    <t>Group Sep</t>
  </si>
  <si>
    <t>Compressor</t>
  </si>
  <si>
    <t>% Check</t>
  </si>
  <si>
    <t>Automatic Spend Profile Desc.</t>
  </si>
  <si>
    <t>Default/Other</t>
  </si>
  <si>
    <t>Onstream Date</t>
  </si>
  <si>
    <t>Condition</t>
  </si>
  <si>
    <t>Variable</t>
  </si>
  <si>
    <t>Project Window</t>
  </si>
  <si>
    <t>Meter (Special)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</si>
</sst>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9" fontId="3" fillId="3" borderId="1" xfId="3" applyNumberFormat="1" applyAlignment="1">
      <alignment horizontal="center"/>
    </xf>
    <xf numFmtId="0" fontId="2" fillId="2" borderId="1" xfId="2" applyAlignment="1">
      <alignment horizontal="center"/>
    </xf>
    <xf numFmtId="9" fontId="0" fillId="0" borderId="0" xfId="1" applyFont="1" applyAlignment="1">
      <alignment horizontal="center"/>
    </xf>
    <xf numFmtId="164" fontId="2" fillId="2" borderId="1" xfId="2" applyNumberFormat="1" applyAlignment="1">
      <alignment horizontal="center"/>
    </xf>
    <xf numFmtId="0" fontId="0" fillId="0" borderId="2" xfId="0" applyBorder="1" applyAlignment="1">
      <alignment horizontal="center"/>
    </xf>
    <xf numFmtId="0" fontId="2" fillId="2" borderId="3" xfId="2" applyBorder="1" applyAlignment="1">
      <alignment horizontal="center"/>
    </xf>
    <xf numFmtId="164" fontId="2" fillId="2" borderId="3" xfId="2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3" fillId="3" borderId="3" xfId="3" applyNumberFormat="1" applyBorder="1" applyAlignment="1">
      <alignment horizontal="center"/>
    </xf>
  </cellXfs>
  <cellStyles count="4">
    <cellStyle name="Calculation" xfId="3" builtinId="22"/>
    <cellStyle name="Input" xfId="2" builtinId="20"/>
    <cellStyle name="Normal" xfId="0" builtinId="0"/>
    <cellStyle name="Percent" xfId="1" builtinId="5"/>
  </cellStyles>
  <dxfs count="22"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outline="0">
        <left style="thin">
          <color rgb="FF7F7F7F"/>
        </left>
      </border>
    </dxf>
    <dxf>
      <numFmt numFmtId="164" formatCode="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outline="0">
        <right style="thin">
          <color rgb="FF7F7F7F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rgb="FF7F7F7F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4347DE-E37E-4A3A-9F04-6FC6A667BF1E}" name="spendProfile" displayName="spendProfile" ref="A1:J11" totalsRowShown="0">
  <autoFilter ref="A1:J11" xr:uid="{684347DE-E37E-4A3A-9F04-6FC6A667BF1E}"/>
  <tableColumns count="10">
    <tableColumn id="10" xr3:uid="{698A766B-5020-464C-B1DF-1BE9079ECF23}" name="Description" dataDxfId="21" dataCellStyle="Input"/>
    <tableColumn id="1" xr3:uid="{98256EB0-48B0-4D5C-A82F-F30F025E102B}" name="Automatic Spend Profile Desc." dataDxfId="20" dataCellStyle="Input"/>
    <tableColumn id="2" xr3:uid="{9DF4FCD6-0B03-4C3A-9A41-609A1EF0B402}" name="Cost" dataDxfId="19" dataCellStyle="Input"/>
    <tableColumn id="3" xr3:uid="{9880A056-8C7D-4126-BC9C-D225C9B600B6}" name="Payment Schedule 1 (Date)" dataDxfId="18" dataCellStyle="Normal">
      <calculatedColumnFormula array="1">_xlfn.IFNA(_xlfn.XLOOKUP($B2,Table1[[Description]:[Description]],Table1[Payment Schedule 1 (Date)]),0)</calculatedColumnFormula>
    </tableColumn>
    <tableColumn id="4" xr3:uid="{9F12923D-82D1-4600-84D6-E07A0D17D28C}" name="Payment Schedule 1 (%)" dataDxfId="17" dataCellStyle="Normal">
      <calculatedColumnFormula array="1">_xlfn.IFNA(_xlfn.XLOOKUP($B2,Table1[[Description]:[Description]],Table1[Payment Schedule 1 (%)]),1)</calculatedColumnFormula>
    </tableColumn>
    <tableColumn id="5" xr3:uid="{F6141B36-C090-4381-AFAA-F05A75AFFBF2}" name="Payment Schedule 2 (Date)" dataDxfId="16" dataCellStyle="Normal">
      <calculatedColumnFormula array="1">_xlfn.IFNA(_xlfn.XLOOKUP($B2,Table1[[Description]:[Description]],Table1[Payment Schedule 2 (Date)]),0)</calculatedColumnFormula>
    </tableColumn>
    <tableColumn id="6" xr3:uid="{01D7CE6B-7EF0-4D23-B5A2-FB843EA6A1E9}" name="Payment Schedule 2 (%)" dataDxfId="15" dataCellStyle="Percent">
      <calculatedColumnFormula array="1">_xlfn.IFNA(_xlfn.XLOOKUP($B2,Table1[[Description]:[Description]],Table1[Payment Schedule 2 (%)]),0)</calculatedColumnFormula>
    </tableColumn>
    <tableColumn id="7" xr3:uid="{38A7ED18-E69C-4E94-B426-FFEBA5FE110E}" name="Payment Schedule 3 (Date)" dataDxfId="14" dataCellStyle="Normal">
      <calculatedColumnFormula array="1">_xlfn.IFNA(_xlfn.XLOOKUP($B2,Table1[[Description]:[Description]],Table1[Payment Schedule 3 (Date)]),0)</calculatedColumnFormula>
    </tableColumn>
    <tableColumn id="8" xr3:uid="{4B4D64D4-F853-4E09-81F0-21348355E1D8}" name="Payment Schedule 3 (%)" dataDxfId="13" dataCellStyle="Percent">
      <calculatedColumnFormula array="1">_xlfn.IFNA(_xlfn.XLOOKUP($B2,Table1[[Description]:[Description]],Table1[Payment Schedule 3 (%)]),0)</calculatedColumnFormula>
    </tableColumn>
    <tableColumn id="9" xr3:uid="{B07ABA13-9ADD-4DBD-8140-7769C166722B}" name="% Check" dataDxfId="12" dataCellStyle="Calculation">
      <calculatedColumnFormula>spendProfile[[#This Row],[Payment Schedule 3 (%)]]+spendProfile[[#This Row],[Payment Schedule 2 (%)]]+spendProfile[[#This Row],[Payment Schedule 1 (%)]]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FD5FF7-89B8-4871-906E-5A56F26D4B86}" name="conditions7" displayName="conditions7" ref="A1:B4" totalsRowShown="0">
  <autoFilter ref="A1:B4" xr:uid="{9CFD5FF7-89B8-4871-906E-5A56F26D4B86}"/>
  <tableColumns count="2">
    <tableColumn id="1" xr3:uid="{F088CB82-DEF1-4BD8-AFA9-F25E0EF4A174}" name="Condition"/>
    <tableColumn id="2" xr3:uid="{5AF08520-20C0-4978-A315-EE3B83DA54EB}" name="Variabl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5B9BB-CAB6-4842-87D7-48CC9BAB1215}" name="Table1" displayName="Table1" ref="A1:H9" totalsRowShown="0" headerRowDxfId="10">
  <autoFilter ref="A1:H9" xr:uid="{A6E5B9BB-CAB6-4842-87D7-48CC9BAB1215}"/>
  <sortState xmlns:xlrd2="http://schemas.microsoft.com/office/spreadsheetml/2017/richdata2" ref="A2:H9">
    <sortCondition ref="A1:A9"/>
  </sortState>
  <tableColumns count="8">
    <tableColumn id="1" xr3:uid="{B8580E6F-7AC7-47A8-B3B6-7AC3D5BDA807}" name="Description" dataDxfId="9"/>
    <tableColumn id="2" xr3:uid="{962C2A16-5CCF-4F21-A263-FA4B534043B6}" name="Payment Schedule 1 (Date)" dataDxfId="8"/>
    <tableColumn id="3" xr3:uid="{6FB4B5B0-9B56-4742-81B5-86804D7DD4F3}" name="Payment Schedule 1 (%)" dataDxfId="7"/>
    <tableColumn id="4" xr3:uid="{4CFF7930-9C2B-4170-8B22-C2723D689CCA}" name="Payment Schedule 2 (Date)" dataDxfId="6"/>
    <tableColumn id="5" xr3:uid="{5B632FD3-AB7C-49A6-B4E1-401ACF067314}" name="Payment Schedule 2 (%)" dataDxfId="5"/>
    <tableColumn id="6" xr3:uid="{5C2DA3EB-0ACB-4567-97A7-5E0E29B87DD0}" name="Payment Schedule 3 (Date)" dataDxfId="4"/>
    <tableColumn id="7" xr3:uid="{489ED05C-4672-49A6-AE92-152E0B285331}" name="Payment Schedule 3 (%)" dataDxfId="3"/>
    <tableColumn id="8" xr3:uid="{406EAF13-2A6F-4556-9DE1-9995C14344EF}" name="% Check" dataDxfId="2">
      <calculatedColumnFormula>Table1[[#This Row],[Payment Schedule 1 (%)]]+Table1[[#This Row],[Payment Schedule 2 (%)]]+Table1[[#This Row],[Payment Schedule 3 (%)]]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12" sqref="C12"/>
    </sheetView>
  </sheetViews>
  <sheetFormatPr defaultRowHeight="14.25" x14ac:dyDescent="0.45"/>
  <cols>
    <col min="1" max="1" width="39.86328125" customWidth="1"/>
    <col min="2" max="2" width="27.59765625" customWidth="1"/>
    <col min="3" max="3" width="24.59765625" style="1" customWidth="1"/>
    <col min="4" max="4" width="22.1328125" style="4" customWidth="1"/>
    <col min="5" max="5" width="24.59765625" style="1" customWidth="1"/>
    <col min="6" max="6" width="22.1328125" style="7" customWidth="1"/>
    <col min="7" max="7" width="24.59765625" style="1" customWidth="1"/>
    <col min="8" max="8" width="22.1328125" style="7" customWidth="1"/>
    <col min="9" max="9" width="23" style="1" customWidth="1"/>
  </cols>
  <sheetData>
    <row r="1" spans="1:10" x14ac:dyDescent="0.45">
      <c r="A1" s="1" t="s">
        <v>0</v>
      </c>
      <c r="B1" s="1" t="s">
        <v>20</v>
      </c>
      <c r="C1" s="1" t="s">
        <v>1</v>
      </c>
      <c r="D1" s="1" t="s">
        <v>10</v>
      </c>
      <c r="E1" s="4" t="s">
        <v>12</v>
      </c>
      <c r="F1" s="1" t="s">
        <v>13</v>
      </c>
      <c r="G1" s="7" t="s">
        <v>14</v>
      </c>
      <c r="H1" s="1" t="s">
        <v>15</v>
      </c>
      <c r="I1" s="7" t="s">
        <v>16</v>
      </c>
      <c r="J1" s="1" t="s">
        <v>19</v>
      </c>
    </row>
    <row r="2" spans="1:10" x14ac:dyDescent="0.45">
      <c r="A2" s="6" t="s">
        <v>2</v>
      </c>
      <c r="B2" s="6" t="s">
        <v>2</v>
      </c>
      <c r="C2" s="8">
        <v>50000</v>
      </c>
      <c r="D2" s="1" cm="1">
        <f t="array" ref="D2">_xlfn.IFNA(_xlfn.XLOOKUP($B2,Table1[[Description]:[Description]],Table1[Payment Schedule 1 (Date)]),0)</f>
        <v>60</v>
      </c>
      <c r="E2" s="4" cm="1">
        <f t="array" ref="E2">_xlfn.IFNA(_xlfn.XLOOKUP($B2,Table1[[Description]:[Description]],Table1[Payment Schedule 1 (%)]),1)</f>
        <v>1</v>
      </c>
      <c r="F2" s="1" cm="1">
        <f t="array" ref="F2">_xlfn.IFNA(_xlfn.XLOOKUP($B2,Table1[[Description]:[Description]],Table1[Payment Schedule 2 (Date)]),0)</f>
        <v>0</v>
      </c>
      <c r="G2" s="7" cm="1">
        <f t="array" ref="G2">_xlfn.IFNA(_xlfn.XLOOKUP($B2,Table1[[Description]:[Description]],Table1[Payment Schedule 2 (%)]),0)</f>
        <v>0</v>
      </c>
      <c r="H2" s="1" cm="1">
        <f t="array" ref="H2">_xlfn.IFNA(_xlfn.XLOOKUP($B2,Table1[[Description]:[Description]],Table1[Payment Schedule 3 (Date)]),0)</f>
        <v>0</v>
      </c>
      <c r="I2" s="7" cm="1">
        <f t="array" ref="I2">_xlfn.IFNA(_xlfn.XLOOKUP($B2,Table1[[Description]:[Description]],Table1[Payment Schedule 3 (%)]),0)</f>
        <v>0</v>
      </c>
      <c r="J2" s="5">
        <f>spendProfile[[#This Row],[Payment Schedule 3 (%)]]+spendProfile[[#This Row],[Payment Schedule 2 (%)]]+spendProfile[[#This Row],[Payment Schedule 1 (%)]]</f>
        <v>1</v>
      </c>
    </row>
    <row r="3" spans="1:10" x14ac:dyDescent="0.45">
      <c r="A3" s="6" t="s">
        <v>3</v>
      </c>
      <c r="B3" s="6" t="s">
        <v>3</v>
      </c>
      <c r="C3" s="8">
        <v>450000</v>
      </c>
      <c r="D3" s="1" cm="1">
        <f t="array" ref="D3">_xlfn.IFNA(_xlfn.XLOOKUP($B3,Table1[[Description]:[Description]],Table1[Payment Schedule 1 (Date)]),0)</f>
        <v>90</v>
      </c>
      <c r="E3" s="4" cm="1">
        <f t="array" ref="E3">_xlfn.IFNA(_xlfn.XLOOKUP($B3,Table1[[Description]:[Description]],Table1[Payment Schedule 1 (%)]),1)</f>
        <v>1</v>
      </c>
      <c r="F3" s="1" cm="1">
        <f t="array" ref="F3">_xlfn.IFNA(_xlfn.XLOOKUP($B3,Table1[[Description]:[Description]],Table1[Payment Schedule 2 (Date)]),0)</f>
        <v>0</v>
      </c>
      <c r="G3" s="7" cm="1">
        <f t="array" ref="G3">_xlfn.IFNA(_xlfn.XLOOKUP($B3,Table1[[Description]:[Description]],Table1[Payment Schedule 2 (%)]),0)</f>
        <v>0</v>
      </c>
      <c r="H3" s="1" cm="1">
        <f t="array" ref="H3">_xlfn.IFNA(_xlfn.XLOOKUP($B3,Table1[[Description]:[Description]],Table1[Payment Schedule 3 (Date)]),0)</f>
        <v>0</v>
      </c>
      <c r="I3" s="7" cm="1">
        <f t="array" ref="I3">_xlfn.IFNA(_xlfn.XLOOKUP($B3,Table1[[Description]:[Description]],Table1[Payment Schedule 3 (%)]),0)</f>
        <v>0</v>
      </c>
      <c r="J3" s="5">
        <f>spendProfile[[#This Row],[Payment Schedule 3 (%)]]+spendProfile[[#This Row],[Payment Schedule 2 (%)]]+spendProfile[[#This Row],[Payment Schedule 1 (%)]]</f>
        <v>1</v>
      </c>
    </row>
    <row r="4" spans="1:10" x14ac:dyDescent="0.45">
      <c r="A4" s="6" t="s">
        <v>4</v>
      </c>
      <c r="B4" s="6" t="s">
        <v>4</v>
      </c>
      <c r="C4" s="8">
        <v>25000</v>
      </c>
      <c r="D4" s="1" cm="1">
        <f t="array" ref="D4">_xlfn.IFNA(_xlfn.XLOOKUP($B4,Table1[[Description]:[Description]],Table1[Payment Schedule 1 (Date)]),0)</f>
        <v>30</v>
      </c>
      <c r="E4" s="4" cm="1">
        <f t="array" ref="E4">_xlfn.IFNA(_xlfn.XLOOKUP($B4,Table1[[Description]:[Description]],Table1[Payment Schedule 1 (%)]),1)</f>
        <v>1</v>
      </c>
      <c r="F4" s="1" cm="1">
        <f t="array" ref="F4">_xlfn.IFNA(_xlfn.XLOOKUP($B4,Table1[[Description]:[Description]],Table1[Payment Schedule 2 (Date)]),0)</f>
        <v>0</v>
      </c>
      <c r="G4" s="7" cm="1">
        <f t="array" ref="G4">_xlfn.IFNA(_xlfn.XLOOKUP($B4,Table1[[Description]:[Description]],Table1[Payment Schedule 2 (%)]),0)</f>
        <v>0</v>
      </c>
      <c r="H4" s="1" cm="1">
        <f t="array" ref="H4">_xlfn.IFNA(_xlfn.XLOOKUP($B4,Table1[[Description]:[Description]],Table1[Payment Schedule 3 (Date)]),0)</f>
        <v>0</v>
      </c>
      <c r="I4" s="7" cm="1">
        <f t="array" ref="I4">_xlfn.IFNA(_xlfn.XLOOKUP($B4,Table1[[Description]:[Description]],Table1[Payment Schedule 3 (%)]),0)</f>
        <v>0</v>
      </c>
      <c r="J4" s="5">
        <f>spendProfile[[#This Row],[Payment Schedule 3 (%)]]+spendProfile[[#This Row],[Payment Schedule 2 (%)]]+spendProfile[[#This Row],[Payment Schedule 1 (%)]]</f>
        <v>1</v>
      </c>
    </row>
    <row r="5" spans="1:10" x14ac:dyDescent="0.45">
      <c r="A5" s="6" t="s">
        <v>5</v>
      </c>
      <c r="B5" s="6" t="s">
        <v>18</v>
      </c>
      <c r="C5" s="8">
        <v>150000</v>
      </c>
      <c r="D5" s="1" cm="1">
        <f t="array" ref="D5">_xlfn.IFNA(_xlfn.XLOOKUP($B5,Table1[[Description]:[Description]],Table1[Payment Schedule 1 (Date)]),0)</f>
        <v>360</v>
      </c>
      <c r="E5" s="4" cm="1">
        <f t="array" ref="E5">_xlfn.IFNA(_xlfn.XLOOKUP($B5,Table1[[Description]:[Description]],Table1[Payment Schedule 1 (%)]),1)</f>
        <v>0.5</v>
      </c>
      <c r="F5" s="1" cm="1">
        <f t="array" ref="F5">_xlfn.IFNA(_xlfn.XLOOKUP($B5,Table1[[Description]:[Description]],Table1[Payment Schedule 2 (Date)]),0)</f>
        <v>180</v>
      </c>
      <c r="G5" s="7" cm="1">
        <f t="array" ref="G5">_xlfn.IFNA(_xlfn.XLOOKUP($B5,Table1[[Description]:[Description]],Table1[Payment Schedule 2 (%)]),0)</f>
        <v>0.3</v>
      </c>
      <c r="H5" s="1" cm="1">
        <f t="array" ref="H5">_xlfn.IFNA(_xlfn.XLOOKUP($B5,Table1[[Description]:[Description]],Table1[Payment Schedule 3 (Date)]),0)</f>
        <v>30</v>
      </c>
      <c r="I5" s="7" cm="1">
        <f t="array" ref="I5">_xlfn.IFNA(_xlfn.XLOOKUP($B5,Table1[[Description]:[Description]],Table1[Payment Schedule 3 (%)]),0)</f>
        <v>0.2</v>
      </c>
      <c r="J5" s="5">
        <f>spendProfile[[#This Row],[Payment Schedule 3 (%)]]+spendProfile[[#This Row],[Payment Schedule 2 (%)]]+spendProfile[[#This Row],[Payment Schedule 1 (%)]]</f>
        <v>1</v>
      </c>
    </row>
    <row r="6" spans="1:10" x14ac:dyDescent="0.45">
      <c r="A6" s="6" t="s">
        <v>6</v>
      </c>
      <c r="B6" s="6" t="s">
        <v>6</v>
      </c>
      <c r="C6" s="8">
        <v>150000</v>
      </c>
      <c r="D6" s="1" cm="1">
        <f t="array" ref="D6">_xlfn.IFNA(_xlfn.XLOOKUP($B6,Table1[[Description]:[Description]],Table1[Payment Schedule 1 (Date)]),0)</f>
        <v>0</v>
      </c>
      <c r="E6" s="4" cm="1">
        <f t="array" ref="E6">_xlfn.IFNA(_xlfn.XLOOKUP($B6,Table1[[Description]:[Description]],Table1[Payment Schedule 1 (%)]),1)</f>
        <v>1</v>
      </c>
      <c r="F6" s="1" cm="1">
        <f t="array" ref="F6">_xlfn.IFNA(_xlfn.XLOOKUP($B6,Table1[[Description]:[Description]],Table1[Payment Schedule 2 (Date)]),0)</f>
        <v>0</v>
      </c>
      <c r="G6" s="7" cm="1">
        <f t="array" ref="G6">_xlfn.IFNA(_xlfn.XLOOKUP($B6,Table1[[Description]:[Description]],Table1[Payment Schedule 2 (%)]),0)</f>
        <v>0</v>
      </c>
      <c r="H6" s="1" cm="1">
        <f t="array" ref="H6">_xlfn.IFNA(_xlfn.XLOOKUP($B6,Table1[[Description]:[Description]],Table1[Payment Schedule 3 (Date)]),0)</f>
        <v>0</v>
      </c>
      <c r="I6" s="7" cm="1">
        <f t="array" ref="I6">_xlfn.IFNA(_xlfn.XLOOKUP($B6,Table1[[Description]:[Description]],Table1[Payment Schedule 3 (%)]),0)</f>
        <v>0</v>
      </c>
      <c r="J6" s="5">
        <f>spendProfile[[#This Row],[Payment Schedule 3 (%)]]+spendProfile[[#This Row],[Payment Schedule 2 (%)]]+spendProfile[[#This Row],[Payment Schedule 1 (%)]]</f>
        <v>1</v>
      </c>
    </row>
    <row r="7" spans="1:10" x14ac:dyDescent="0.45">
      <c r="A7" s="6" t="s">
        <v>9</v>
      </c>
      <c r="B7" s="6" t="s">
        <v>21</v>
      </c>
      <c r="C7" s="8">
        <v>200000</v>
      </c>
      <c r="D7" s="1" cm="1">
        <f t="array" ref="D7">_xlfn.IFNA(_xlfn.XLOOKUP($B7,Table1[[Description]:[Description]],Table1[Payment Schedule 1 (Date)]),0)</f>
        <v>0</v>
      </c>
      <c r="E7" s="4" cm="1">
        <f t="array" ref="E7">_xlfn.IFNA(_xlfn.XLOOKUP($B7,Table1[[Description]:[Description]],Table1[Payment Schedule 1 (%)]),1)</f>
        <v>1</v>
      </c>
      <c r="F7" s="1" cm="1">
        <f t="array" ref="F7">_xlfn.IFNA(_xlfn.XLOOKUP($B7,Table1[[Description]:[Description]],Table1[Payment Schedule 2 (Date)]),0)</f>
        <v>0</v>
      </c>
      <c r="G7" s="7" cm="1">
        <f t="array" ref="G7">_xlfn.IFNA(_xlfn.XLOOKUP($B7,Table1[[Description]:[Description]],Table1[Payment Schedule 2 (%)]),0)</f>
        <v>0</v>
      </c>
      <c r="H7" s="1" cm="1">
        <f t="array" ref="H7">_xlfn.IFNA(_xlfn.XLOOKUP($B7,Table1[[Description]:[Description]],Table1[Payment Schedule 3 (Date)]),0)</f>
        <v>0</v>
      </c>
      <c r="I7" s="7" cm="1">
        <f t="array" ref="I7">_xlfn.IFNA(_xlfn.XLOOKUP($B7,Table1[[Description]:[Description]],Table1[Payment Schedule 3 (%)]),0)</f>
        <v>0</v>
      </c>
      <c r="J7" s="5">
        <f>spendProfile[[#This Row],[Payment Schedule 3 (%)]]+spendProfile[[#This Row],[Payment Schedule 2 (%)]]+spendProfile[[#This Row],[Payment Schedule 1 (%)]]</f>
        <v>1</v>
      </c>
    </row>
    <row r="8" spans="1:10" x14ac:dyDescent="0.45">
      <c r="A8" s="6" t="s">
        <v>11</v>
      </c>
      <c r="B8" s="6" t="s">
        <v>21</v>
      </c>
      <c r="C8" s="8">
        <v>500000</v>
      </c>
      <c r="D8" s="1" cm="1">
        <f t="array" ref="D8">_xlfn.IFNA(_xlfn.XLOOKUP($B8,Table1[[Description]:[Description]],Table1[Payment Schedule 1 (Date)]),0)</f>
        <v>0</v>
      </c>
      <c r="E8" s="4" cm="1">
        <f t="array" ref="E8">_xlfn.IFNA(_xlfn.XLOOKUP($B8,Table1[[Description]:[Description]],Table1[Payment Schedule 1 (%)]),1)</f>
        <v>1</v>
      </c>
      <c r="F8" s="1" cm="1">
        <f t="array" ref="F8">_xlfn.IFNA(_xlfn.XLOOKUP($B8,Table1[[Description]:[Description]],Table1[Payment Schedule 2 (Date)]),0)</f>
        <v>0</v>
      </c>
      <c r="G8" s="7" cm="1">
        <f t="array" ref="G8">_xlfn.IFNA(_xlfn.XLOOKUP($B8,Table1[[Description]:[Description]],Table1[Payment Schedule 2 (%)]),0)</f>
        <v>0</v>
      </c>
      <c r="H8" s="1" cm="1">
        <f t="array" ref="H8">_xlfn.IFNA(_xlfn.XLOOKUP($B8,Table1[[Description]:[Description]],Table1[Payment Schedule 3 (Date)]),0)</f>
        <v>0</v>
      </c>
      <c r="I8" s="7" cm="1">
        <f t="array" ref="I8">_xlfn.IFNA(_xlfn.XLOOKUP($B8,Table1[[Description]:[Description]],Table1[Payment Schedule 3 (%)]),0)</f>
        <v>0</v>
      </c>
      <c r="J8" s="5">
        <f>spendProfile[[#This Row],[Payment Schedule 3 (%)]]+spendProfile[[#This Row],[Payment Schedule 2 (%)]]+spendProfile[[#This Row],[Payment Schedule 1 (%)]]</f>
        <v>1</v>
      </c>
    </row>
    <row r="9" spans="1:10" x14ac:dyDescent="0.45">
      <c r="A9" s="6" t="s">
        <v>17</v>
      </c>
      <c r="B9" s="6" t="s">
        <v>17</v>
      </c>
      <c r="C9" s="8">
        <v>500001</v>
      </c>
      <c r="D9" s="1" cm="1">
        <f t="array" ref="D9">_xlfn.IFNA(_xlfn.XLOOKUP($B9,Table1[[Description]:[Description]],Table1[Payment Schedule 1 (Date)]),0)</f>
        <v>180</v>
      </c>
      <c r="E9" s="4" cm="1">
        <f t="array" ref="E9">_xlfn.IFNA(_xlfn.XLOOKUP($B9,Table1[[Description]:[Description]],Table1[Payment Schedule 1 (%)]),1)</f>
        <v>0.5</v>
      </c>
      <c r="F9" s="1" cm="1">
        <f t="array" ref="F9">_xlfn.IFNA(_xlfn.XLOOKUP($B9,Table1[[Description]:[Description]],Table1[Payment Schedule 2 (Date)]),0)</f>
        <v>90</v>
      </c>
      <c r="G9" s="7" cm="1">
        <f t="array" ref="G9">_xlfn.IFNA(_xlfn.XLOOKUP($B9,Table1[[Description]:[Description]],Table1[Payment Schedule 2 (%)]),0)</f>
        <v>0.3</v>
      </c>
      <c r="H9" s="1" cm="1">
        <f t="array" ref="H9">_xlfn.IFNA(_xlfn.XLOOKUP($B9,Table1[[Description]:[Description]],Table1[Payment Schedule 3 (Date)]),0)</f>
        <v>0</v>
      </c>
      <c r="I9" s="7" cm="1">
        <f t="array" ref="I9">_xlfn.IFNA(_xlfn.XLOOKUP($B9,Table1[[Description]:[Description]],Table1[Payment Schedule 3 (%)]),0)</f>
        <v>0.2</v>
      </c>
      <c r="J9" s="5">
        <f>spendProfile[[#This Row],[Payment Schedule 3 (%)]]+spendProfile[[#This Row],[Payment Schedule 2 (%)]]+spendProfile[[#This Row],[Payment Schedule 1 (%)]]</f>
        <v>1</v>
      </c>
    </row>
    <row r="10" spans="1:10" x14ac:dyDescent="0.45">
      <c r="A10" s="6" t="s">
        <v>18</v>
      </c>
      <c r="B10" s="6" t="s">
        <v>18</v>
      </c>
      <c r="C10" s="8">
        <v>500000</v>
      </c>
      <c r="D10" s="1" cm="1">
        <f t="array" ref="D10">_xlfn.IFNA(_xlfn.XLOOKUP($B10,Table1[[Description]:[Description]],Table1[Payment Schedule 1 (Date)]),0)</f>
        <v>360</v>
      </c>
      <c r="E10" s="4" cm="1">
        <f t="array" ref="E10">_xlfn.IFNA(_xlfn.XLOOKUP($B10,Table1[[Description]:[Description]],Table1[Payment Schedule 1 (%)]),1)</f>
        <v>0.5</v>
      </c>
      <c r="F10" s="1" cm="1">
        <f t="array" ref="F10">_xlfn.IFNA(_xlfn.XLOOKUP($B10,Table1[[Description]:[Description]],Table1[Payment Schedule 2 (Date)]),0)</f>
        <v>180</v>
      </c>
      <c r="G10" s="7" cm="1">
        <f t="array" ref="G10">_xlfn.IFNA(_xlfn.XLOOKUP($B10,Table1[[Description]:[Description]],Table1[Payment Schedule 2 (%)]),0)</f>
        <v>0.3</v>
      </c>
      <c r="H10" s="1" cm="1">
        <f t="array" ref="H10">_xlfn.IFNA(_xlfn.XLOOKUP($B10,Table1[[Description]:[Description]],Table1[Payment Schedule 3 (Date)]),0)</f>
        <v>30</v>
      </c>
      <c r="I10" s="7" cm="1">
        <f t="array" ref="I10">_xlfn.IFNA(_xlfn.XLOOKUP($B10,Table1[[Description]:[Description]],Table1[Payment Schedule 3 (%)]),0)</f>
        <v>0.2</v>
      </c>
      <c r="J10" s="5">
        <f>spendProfile[[#This Row],[Payment Schedule 3 (%)]]+spendProfile[[#This Row],[Payment Schedule 2 (%)]]+spendProfile[[#This Row],[Payment Schedule 1 (%)]]</f>
        <v>1</v>
      </c>
    </row>
    <row r="11" spans="1:10" x14ac:dyDescent="0.45">
      <c r="A11" s="10" t="s">
        <v>26</v>
      </c>
      <c r="B11" s="10" t="s">
        <v>21</v>
      </c>
      <c r="C11" s="11">
        <v>55000</v>
      </c>
      <c r="D11" s="9">
        <v>245</v>
      </c>
      <c r="E11" s="4">
        <v>0.7</v>
      </c>
      <c r="F11" s="1">
        <v>93</v>
      </c>
      <c r="G11" s="12">
        <v>0.3</v>
      </c>
      <c r="H11" s="1" cm="1">
        <f t="array" ref="H11">_xlfn.IFNA(_xlfn.XLOOKUP($B11,Table1[[Description]:[Description]],Table1[Payment Schedule 3 (Date)]),0)</f>
        <v>0</v>
      </c>
      <c r="I11" s="12" cm="1">
        <f t="array" ref="I11">_xlfn.IFNA(_xlfn.XLOOKUP($B11,Table1[[Description]:[Description]],Table1[Payment Schedule 3 (%)]),0)</f>
        <v>0</v>
      </c>
      <c r="J11" s="13">
        <f>spendProfile[[#This Row],[Payment Schedule 3 (%)]]+spendProfile[[#This Row],[Payment Schedule 2 (%)]]+spendProfile[[#This Row],[Payment Schedule 1 (%)]]</f>
        <v>1</v>
      </c>
    </row>
  </sheetData>
  <conditionalFormatting sqref="D2:I11">
    <cfRule type="expression" dxfId="0" priority="6">
      <formula>NOT(_xlfn.ISFORMULA(D2))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7763576-67EA-49E0-8EE5-DBEAA38D5BF4}">
            <xm:f>IF(COUNTIF('Cost Estimate Templated'!$A:$A, $B2)&gt;0, FALSE, TRUE)</xm:f>
            <x14:dxf>
              <font>
                <color theme="5"/>
              </font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D2:I11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DD61DE-5D5B-4EAD-907A-DC70EB4A72D5}">
          <x14:formula1>
            <xm:f>'Cost Estimate Templated'!$A:$A</xm:f>
          </x14:formula1>
          <xm:sqref>B2:B11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49B7-ABEE-4E80-8796-AAAC61C2C5E0}">
  <dimension ref="A1:B4"/>
  <sheetViews>
    <sheetView workbookViewId="0">
      <selection activeCell="D38" sqref="D38"/>
    </sheetView>
  </sheetViews>
  <sheetFormatPr defaultRowHeight="14.25" x14ac:dyDescent="0.45"/>
  <cols>
    <col min="1" max="1" width="18.86328125" customWidth="1"/>
    <col min="2" max="2" width="15" customWidth="1"/>
  </cols>
  <sheetData>
    <row r="1" spans="1:2" x14ac:dyDescent="0.45">
      <c r="A1" t="s">
        <v>23</v>
      </c>
      <c r="B1" s="1" t="s">
        <v>24</v>
      </c>
    </row>
    <row r="2" spans="1:2" x14ac:dyDescent="0.45">
      <c r="A2" t="s">
        <v>22</v>
      </c>
      <c r="B2" s="1" t="s">
        <v>8</v>
      </c>
    </row>
    <row r="3" spans="1:2" x14ac:dyDescent="0.45">
      <c r="A3" t="s">
        <v>7</v>
      </c>
      <c r="B3" s="1">
        <v>30</v>
      </c>
    </row>
    <row r="4" spans="1:2" x14ac:dyDescent="0.45">
      <c r="A4" t="s">
        <v>25</v>
      </c>
      <c r="B4" s="1">
        <v>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D2CA-5D10-4DBD-AD45-0130D75B01ED}">
  <dimension ref="A1:H9"/>
  <sheetViews>
    <sheetView workbookViewId="0">
      <selection activeCell="B33" sqref="B33"/>
    </sheetView>
  </sheetViews>
  <sheetFormatPr defaultRowHeight="14.25" x14ac:dyDescent="0.45"/>
  <cols>
    <col min="1" max="1" width="20" customWidth="1"/>
    <col min="2" max="2" width="42.1328125" customWidth="1"/>
    <col min="3" max="3" width="28.1328125" style="2" customWidth="1"/>
    <col min="4" max="4" width="24.59765625" style="2" customWidth="1"/>
    <col min="5" max="5" width="28.73046875" style="2" customWidth="1"/>
    <col min="6" max="7" width="25.59765625" style="2" customWidth="1"/>
  </cols>
  <sheetData>
    <row r="1" spans="1:8" x14ac:dyDescent="0.45">
      <c r="A1" s="1" t="s">
        <v>0</v>
      </c>
      <c r="B1" s="1" t="s">
        <v>10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1" t="s">
        <v>19</v>
      </c>
    </row>
    <row r="2" spans="1:8" x14ac:dyDescent="0.45">
      <c r="A2" s="1" t="s">
        <v>21</v>
      </c>
      <c r="B2" s="1">
        <v>0</v>
      </c>
      <c r="C2" s="3">
        <v>1</v>
      </c>
      <c r="E2" s="3"/>
      <c r="G2" s="3"/>
      <c r="H2" s="3">
        <f>Table1[[#This Row],[Payment Schedule 1 (%)]]+Table1[[#This Row],[Payment Schedule 2 (%)]]+Table1[[#This Row],[Payment Schedule 3 (%)]]</f>
        <v>1</v>
      </c>
    </row>
    <row r="3" spans="1:8" x14ac:dyDescent="0.45">
      <c r="A3" s="1" t="s">
        <v>2</v>
      </c>
      <c r="B3" s="1">
        <v>60</v>
      </c>
      <c r="C3" s="3">
        <v>1</v>
      </c>
      <c r="E3" s="3"/>
      <c r="G3" s="3"/>
      <c r="H3" s="3">
        <f>Table1[[#This Row],[Payment Schedule 1 (%)]]+Table1[[#This Row],[Payment Schedule 2 (%)]]+Table1[[#This Row],[Payment Schedule 3 (%)]]</f>
        <v>1</v>
      </c>
    </row>
    <row r="4" spans="1:8" x14ac:dyDescent="0.45">
      <c r="A4" s="1" t="s">
        <v>18</v>
      </c>
      <c r="B4" s="1">
        <v>360</v>
      </c>
      <c r="C4" s="3">
        <v>0.5</v>
      </c>
      <c r="D4" s="2">
        <v>180</v>
      </c>
      <c r="E4" s="3">
        <v>0.3</v>
      </c>
      <c r="F4" s="2">
        <v>30</v>
      </c>
      <c r="G4" s="3">
        <v>0.2</v>
      </c>
      <c r="H4" s="3">
        <f>Table1[[#This Row],[Payment Schedule 1 (%)]]+Table1[[#This Row],[Payment Schedule 2 (%)]]+Table1[[#This Row],[Payment Schedule 3 (%)]]</f>
        <v>1</v>
      </c>
    </row>
    <row r="5" spans="1:8" x14ac:dyDescent="0.45">
      <c r="A5" s="1" t="s">
        <v>17</v>
      </c>
      <c r="B5" s="1">
        <v>180</v>
      </c>
      <c r="C5" s="3">
        <v>0.5</v>
      </c>
      <c r="D5" s="2">
        <v>90</v>
      </c>
      <c r="E5" s="3">
        <v>0.3</v>
      </c>
      <c r="F5" s="2">
        <v>0</v>
      </c>
      <c r="G5" s="3">
        <v>0.2</v>
      </c>
      <c r="H5" s="3">
        <f>Table1[[#This Row],[Payment Schedule 1 (%)]]+Table1[[#This Row],[Payment Schedule 2 (%)]]+Table1[[#This Row],[Payment Schedule 3 (%)]]</f>
        <v>1</v>
      </c>
    </row>
    <row r="6" spans="1:8" x14ac:dyDescent="0.45">
      <c r="A6" s="1" t="s">
        <v>6</v>
      </c>
      <c r="B6" s="1">
        <v>0</v>
      </c>
      <c r="C6" s="3">
        <v>1</v>
      </c>
      <c r="E6" s="3"/>
      <c r="G6" s="3"/>
      <c r="H6" s="3">
        <f>Table1[[#This Row],[Payment Schedule 1 (%)]]+Table1[[#This Row],[Payment Schedule 2 (%)]]+Table1[[#This Row],[Payment Schedule 3 (%)]]</f>
        <v>1</v>
      </c>
    </row>
    <row r="7" spans="1:8" x14ac:dyDescent="0.45">
      <c r="A7" s="1" t="s">
        <v>5</v>
      </c>
      <c r="B7" s="1">
        <v>0</v>
      </c>
      <c r="C7" s="3">
        <v>1</v>
      </c>
      <c r="E7" s="3"/>
      <c r="G7" s="3"/>
      <c r="H7" s="3">
        <f>Table1[[#This Row],[Payment Schedule 1 (%)]]+Table1[[#This Row],[Payment Schedule 2 (%)]]+Table1[[#This Row],[Payment Schedule 3 (%)]]</f>
        <v>1</v>
      </c>
    </row>
    <row r="8" spans="1:8" x14ac:dyDescent="0.45">
      <c r="A8" s="1" t="s">
        <v>3</v>
      </c>
      <c r="B8" s="1">
        <v>90</v>
      </c>
      <c r="C8" s="3">
        <v>1</v>
      </c>
      <c r="E8" s="3"/>
      <c r="G8" s="3"/>
      <c r="H8" s="3">
        <f>Table1[[#This Row],[Payment Schedule 1 (%)]]+Table1[[#This Row],[Payment Schedule 2 (%)]]+Table1[[#This Row],[Payment Schedule 3 (%)]]</f>
        <v>1</v>
      </c>
    </row>
    <row r="9" spans="1:8" x14ac:dyDescent="0.45">
      <c r="A9" s="1" t="s">
        <v>4</v>
      </c>
      <c r="B9" s="1">
        <v>30</v>
      </c>
      <c r="C9" s="3">
        <v>1</v>
      </c>
      <c r="E9" s="3"/>
      <c r="G9" s="3"/>
      <c r="H9" s="3">
        <f>Table1[[#This Row],[Payment Schedule 1 (%)]]+Table1[[#This Row],[Payment Schedule 2 (%)]]+Table1[[#This Row],[Payment Schedule 3 (%)]]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Spend Profile</vt:lpstr>
      <vt:lpstr>Conditions</vt:lpstr>
      <vt:lpstr>Cost Estimate Templated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Bowersock</dc:creator>
  <cp:lastModifiedBy>Dylan Bowersock</cp:lastModifiedBy>
  <dcterms:created xsi:type="dcterms:W3CDTF">2015-06-05T18:17:20Z</dcterms:created>
  <dcterms:modified xsi:type="dcterms:W3CDTF">2025-12-14T12:39:18Z</dcterms:modified>
</cp:coreProperties>
</file>